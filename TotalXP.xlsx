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2c2-my.sharepoint.com/personal/thomas_humitsch_v2c2_at/Documents/Desktop/Pogo XP/"/>
    </mc:Choice>
  </mc:AlternateContent>
  <xr:revisionPtr revIDLastSave="148" documentId="8_{BFE81006-1F3A-4130-920B-0E0A7B083ADC}" xr6:coauthVersionLast="47" xr6:coauthVersionMax="47" xr10:uidLastSave="{56263F64-1D57-4BEB-AD0C-2AB6BAE82674}"/>
  <bookViews>
    <workbookView xWindow="-120" yWindow="-120" windowWidth="29040" windowHeight="15720" xr2:uid="{2E9E6030-CE8B-41A4-A5CB-D778E789CD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1" l="1"/>
  <c r="C75" i="1"/>
  <c r="C76" i="1"/>
  <c r="C77" i="1"/>
  <c r="C78" i="1"/>
  <c r="C79" i="1"/>
  <c r="C73" i="1"/>
  <c r="B72" i="1" s="1"/>
  <c r="C60" i="1"/>
  <c r="C61" i="1"/>
  <c r="C62" i="1"/>
  <c r="C63" i="1"/>
  <c r="C64" i="1"/>
  <c r="C65" i="1"/>
  <c r="C66" i="1"/>
  <c r="C67" i="1"/>
  <c r="D5" i="2" s="1" a="1"/>
  <c r="D5" i="2" s="1"/>
  <c r="B5" i="2" s="1"/>
  <c r="C68" i="1"/>
  <c r="C69" i="1"/>
  <c r="C70" i="1"/>
  <c r="C71" i="1"/>
  <c r="C57" i="1"/>
  <c r="C58" i="1"/>
  <c r="C59" i="1"/>
  <c r="C56" i="1"/>
  <c r="D6" i="2" a="1"/>
  <c r="D6" i="2" s="1"/>
  <c r="B6" i="2" s="1"/>
  <c r="D3" i="2" a="1"/>
  <c r="D3" i="2" s="1"/>
  <c r="B3" i="2" s="1"/>
  <c r="B61" i="1"/>
  <c r="B74" i="1"/>
  <c r="B75" i="1"/>
  <c r="B76" i="1"/>
  <c r="B77" i="1"/>
  <c r="B78" i="1"/>
  <c r="B81" i="1"/>
  <c r="C80" i="1"/>
  <c r="C81" i="1"/>
  <c r="C72" i="1"/>
  <c r="C34" i="1"/>
  <c r="C35" i="1"/>
  <c r="C36" i="1"/>
  <c r="C37" i="1"/>
  <c r="C38" i="1"/>
  <c r="C39" i="1"/>
  <c r="B39" i="1" s="1"/>
  <c r="C40" i="1"/>
  <c r="C41" i="1"/>
  <c r="C42" i="1"/>
  <c r="C43" i="1"/>
  <c r="C44" i="1"/>
  <c r="C45" i="1"/>
  <c r="C46" i="1"/>
  <c r="B45" i="1" s="1"/>
  <c r="C47" i="1"/>
  <c r="C48" i="1"/>
  <c r="B47" i="1" s="1"/>
  <c r="C49" i="1"/>
  <c r="B48" i="1" s="1"/>
  <c r="C50" i="1"/>
  <c r="B49" i="1" s="1"/>
  <c r="C51" i="1"/>
  <c r="C52" i="1"/>
  <c r="D7" i="2" s="1" a="1"/>
  <c r="D7" i="2" s="1"/>
  <c r="B7" i="2" s="1"/>
  <c r="C53" i="1"/>
  <c r="C54" i="1"/>
  <c r="C55" i="1"/>
  <c r="D8" i="2" a="1"/>
  <c r="D8" i="2" s="1"/>
  <c r="B8" i="2" s="1"/>
  <c r="C33" i="1"/>
  <c r="B32" i="1" s="1"/>
  <c r="B40" i="1"/>
  <c r="B41" i="1"/>
  <c r="B42" i="1"/>
  <c r="B22" i="1"/>
  <c r="B23" i="1"/>
  <c r="B24" i="1"/>
  <c r="B25" i="1"/>
  <c r="B26" i="1"/>
  <c r="B27" i="1"/>
  <c r="B28" i="1"/>
  <c r="B29" i="1"/>
  <c r="B30" i="1"/>
  <c r="B31" i="1"/>
  <c r="B21" i="1"/>
  <c r="B20" i="1"/>
  <c r="B19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3" i="1"/>
  <c r="B64" i="1" l="1"/>
  <c r="B63" i="1"/>
  <c r="B79" i="1"/>
  <c r="B73" i="1"/>
  <c r="B65" i="1"/>
  <c r="B80" i="1"/>
  <c r="B44" i="1"/>
  <c r="B33" i="1"/>
  <c r="B68" i="1"/>
  <c r="B52" i="1"/>
  <c r="B36" i="1"/>
  <c r="D4" i="2" a="1"/>
  <c r="D4" i="2" s="1"/>
  <c r="B4" i="2" s="1"/>
  <c r="F3" i="2" a="1"/>
  <c r="F3" i="2" s="1"/>
  <c r="B55" i="1"/>
  <c r="B69" i="1"/>
  <c r="B37" i="1"/>
  <c r="B67" i="1"/>
  <c r="B51" i="1"/>
  <c r="B35" i="1"/>
  <c r="D9" i="2" a="1"/>
  <c r="D9" i="2" s="1"/>
  <c r="B9" i="2" s="1"/>
  <c r="B71" i="1"/>
  <c r="D2" i="2" a="1"/>
  <c r="D2" i="2" s="1"/>
  <c r="B2" i="2" s="1"/>
  <c r="B66" i="1"/>
  <c r="B62" i="1"/>
  <c r="B60" i="1"/>
  <c r="B59" i="1"/>
  <c r="B58" i="1"/>
  <c r="B57" i="1"/>
  <c r="B56" i="1"/>
  <c r="B54" i="1"/>
  <c r="B50" i="1"/>
  <c r="B46" i="1"/>
  <c r="B43" i="1"/>
  <c r="B53" i="1"/>
  <c r="B38" i="1"/>
  <c r="B70" i="1"/>
  <c r="B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<sst xmlns="http://schemas.openxmlformats.org/spreadsheetml/2006/main" count="16" uniqueCount="15">
  <si>
    <t>Total XP</t>
  </si>
  <si>
    <t>Thombay</t>
  </si>
  <si>
    <t>Cerius</t>
  </si>
  <si>
    <t>Thomzay</t>
  </si>
  <si>
    <t>Babsi</t>
  </si>
  <si>
    <t>Martin</t>
  </si>
  <si>
    <t>Paul</t>
  </si>
  <si>
    <t>Azog</t>
  </si>
  <si>
    <t>Tastef</t>
  </si>
  <si>
    <t>Lvl</t>
  </si>
  <si>
    <t>Lvl XP</t>
  </si>
  <si>
    <t>XP Bar</t>
  </si>
  <si>
    <t>Spieler</t>
  </si>
  <si>
    <t>Level</t>
  </si>
  <si>
    <t>XP to next Lvl.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</si>
</sst>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T"/>
              <a:t>Pogo XP Growth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XP to next Lvl.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xVal>
          <c:yVal>
            <c:numRef>
              <c:f>Sheet1!$B$2:$B$81</c:f>
              <c:numCache>
                <c:formatCode>#,##0</c:formatCode>
                <c:ptCount val="80"/>
                <c:pt idx="0">
                  <c:v>2500</c:v>
                </c:pt>
                <c:pt idx="1">
                  <c:v>3000</c:v>
                </c:pt>
                <c:pt idx="2">
                  <c:v>3500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12000</c:v>
                </c:pt>
                <c:pt idx="11">
                  <c:v>14000</c:v>
                </c:pt>
                <c:pt idx="12">
                  <c:v>16000</c:v>
                </c:pt>
                <c:pt idx="13">
                  <c:v>18000</c:v>
                </c:pt>
                <c:pt idx="14">
                  <c:v>21000</c:v>
                </c:pt>
                <c:pt idx="15">
                  <c:v>24000</c:v>
                </c:pt>
                <c:pt idx="16">
                  <c:v>28500</c:v>
                </c:pt>
                <c:pt idx="17">
                  <c:v>31500</c:v>
                </c:pt>
                <c:pt idx="18">
                  <c:v>35000</c:v>
                </c:pt>
                <c:pt idx="19">
                  <c:v>42000</c:v>
                </c:pt>
                <c:pt idx="20">
                  <c:v>49000</c:v>
                </c:pt>
                <c:pt idx="21">
                  <c:v>56000</c:v>
                </c:pt>
                <c:pt idx="22">
                  <c:v>63000</c:v>
                </c:pt>
                <c:pt idx="23">
                  <c:v>70000</c:v>
                </c:pt>
                <c:pt idx="24">
                  <c:v>83000</c:v>
                </c:pt>
                <c:pt idx="25">
                  <c:v>96000</c:v>
                </c:pt>
                <c:pt idx="26">
                  <c:v>109000</c:v>
                </c:pt>
                <c:pt idx="27">
                  <c:v>122000</c:v>
                </c:pt>
                <c:pt idx="28">
                  <c:v>135000</c:v>
                </c:pt>
                <c:pt idx="29">
                  <c:v>158000</c:v>
                </c:pt>
                <c:pt idx="30">
                  <c:v>181000</c:v>
                </c:pt>
                <c:pt idx="31">
                  <c:v>204000</c:v>
                </c:pt>
                <c:pt idx="32">
                  <c:v>227000</c:v>
                </c:pt>
                <c:pt idx="33">
                  <c:v>250000</c:v>
                </c:pt>
                <c:pt idx="34">
                  <c:v>290000</c:v>
                </c:pt>
                <c:pt idx="35">
                  <c:v>330000</c:v>
                </c:pt>
                <c:pt idx="36">
                  <c:v>370000</c:v>
                </c:pt>
                <c:pt idx="37">
                  <c:v>410000</c:v>
                </c:pt>
                <c:pt idx="38">
                  <c:v>450000</c:v>
                </c:pt>
                <c:pt idx="39">
                  <c:v>520000</c:v>
                </c:pt>
                <c:pt idx="40">
                  <c:v>590000</c:v>
                </c:pt>
                <c:pt idx="41">
                  <c:v>660000</c:v>
                </c:pt>
                <c:pt idx="42">
                  <c:v>730000</c:v>
                </c:pt>
                <c:pt idx="43">
                  <c:v>800000</c:v>
                </c:pt>
                <c:pt idx="44">
                  <c:v>900000</c:v>
                </c:pt>
                <c:pt idx="45">
                  <c:v>1000000</c:v>
                </c:pt>
                <c:pt idx="46">
                  <c:v>1100000</c:v>
                </c:pt>
                <c:pt idx="47">
                  <c:v>1200000</c:v>
                </c:pt>
                <c:pt idx="48">
                  <c:v>1300000</c:v>
                </c:pt>
                <c:pt idx="49">
                  <c:v>1440000</c:v>
                </c:pt>
                <c:pt idx="50">
                  <c:v>1580000</c:v>
                </c:pt>
                <c:pt idx="51">
                  <c:v>1720000</c:v>
                </c:pt>
                <c:pt idx="52">
                  <c:v>1860000</c:v>
                </c:pt>
                <c:pt idx="53">
                  <c:v>2000000</c:v>
                </c:pt>
                <c:pt idx="54">
                  <c:v>2200000</c:v>
                </c:pt>
                <c:pt idx="55">
                  <c:v>2400000</c:v>
                </c:pt>
                <c:pt idx="56">
                  <c:v>2600000</c:v>
                </c:pt>
                <c:pt idx="57">
                  <c:v>2800000</c:v>
                </c:pt>
                <c:pt idx="58">
                  <c:v>3000000</c:v>
                </c:pt>
                <c:pt idx="59">
                  <c:v>3350000</c:v>
                </c:pt>
                <c:pt idx="60">
                  <c:v>3700000</c:v>
                </c:pt>
                <c:pt idx="61">
                  <c:v>4050000</c:v>
                </c:pt>
                <c:pt idx="62">
                  <c:v>4400000</c:v>
                </c:pt>
                <c:pt idx="63">
                  <c:v>4750000</c:v>
                </c:pt>
                <c:pt idx="64">
                  <c:v>5250000</c:v>
                </c:pt>
                <c:pt idx="65">
                  <c:v>5750000</c:v>
                </c:pt>
                <c:pt idx="66">
                  <c:v>6250000</c:v>
                </c:pt>
                <c:pt idx="67">
                  <c:v>6750000</c:v>
                </c:pt>
                <c:pt idx="68">
                  <c:v>7250000</c:v>
                </c:pt>
                <c:pt idx="69">
                  <c:v>8000000</c:v>
                </c:pt>
                <c:pt idx="70">
                  <c:v>8750000</c:v>
                </c:pt>
                <c:pt idx="71">
                  <c:v>9500000</c:v>
                </c:pt>
                <c:pt idx="72">
                  <c:v>10250000</c:v>
                </c:pt>
                <c:pt idx="73">
                  <c:v>11000000</c:v>
                </c:pt>
                <c:pt idx="74">
                  <c:v>12000000</c:v>
                </c:pt>
                <c:pt idx="75">
                  <c:v>13000000</c:v>
                </c:pt>
                <c:pt idx="76">
                  <c:v>14000000</c:v>
                </c:pt>
                <c:pt idx="77">
                  <c:v>15000000</c:v>
                </c:pt>
                <c:pt idx="78">
                  <c:v>16000000</c:v>
                </c:pt>
                <c:pt idx="7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F1-4817-BBDC-4677850A612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Total XP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Sheet1!$A$2:$A$81</c:f>
              <c:numCache>
                <c:formatCode>General</c:formatCod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numCache>
            </c:numRef>
          </c:xVal>
          <c:yVal>
            <c:numRef>
              <c:f>Sheet1!$C$3:$C$82</c:f>
              <c:numCache>
                <c:formatCode>#,##0</c:formatCode>
                <c:ptCount val="80"/>
                <c:pt idx="0">
                  <c:v>2500</c:v>
                </c:pt>
                <c:pt idx="1">
                  <c:v>5500</c:v>
                </c:pt>
                <c:pt idx="2">
                  <c:v>9000</c:v>
                </c:pt>
                <c:pt idx="3">
                  <c:v>13000</c:v>
                </c:pt>
                <c:pt idx="4">
                  <c:v>18000</c:v>
                </c:pt>
                <c:pt idx="5">
                  <c:v>24000</c:v>
                </c:pt>
                <c:pt idx="6">
                  <c:v>31000</c:v>
                </c:pt>
                <c:pt idx="7">
                  <c:v>39000</c:v>
                </c:pt>
                <c:pt idx="8">
                  <c:v>48000</c:v>
                </c:pt>
                <c:pt idx="9">
                  <c:v>58000</c:v>
                </c:pt>
                <c:pt idx="10">
                  <c:v>70000</c:v>
                </c:pt>
                <c:pt idx="11">
                  <c:v>84000</c:v>
                </c:pt>
                <c:pt idx="12">
                  <c:v>100000</c:v>
                </c:pt>
                <c:pt idx="13">
                  <c:v>118000</c:v>
                </c:pt>
                <c:pt idx="14">
                  <c:v>139000</c:v>
                </c:pt>
                <c:pt idx="15">
                  <c:v>163000</c:v>
                </c:pt>
                <c:pt idx="16">
                  <c:v>191500</c:v>
                </c:pt>
                <c:pt idx="17">
                  <c:v>223000</c:v>
                </c:pt>
                <c:pt idx="18">
                  <c:v>258000</c:v>
                </c:pt>
                <c:pt idx="19">
                  <c:v>300000</c:v>
                </c:pt>
                <c:pt idx="20">
                  <c:v>349000</c:v>
                </c:pt>
                <c:pt idx="21">
                  <c:v>405000</c:v>
                </c:pt>
                <c:pt idx="22">
                  <c:v>468000</c:v>
                </c:pt>
                <c:pt idx="23">
                  <c:v>538000</c:v>
                </c:pt>
                <c:pt idx="24">
                  <c:v>621000</c:v>
                </c:pt>
                <c:pt idx="25">
                  <c:v>717000</c:v>
                </c:pt>
                <c:pt idx="26">
                  <c:v>826000</c:v>
                </c:pt>
                <c:pt idx="27">
                  <c:v>948000</c:v>
                </c:pt>
                <c:pt idx="28">
                  <c:v>1083000</c:v>
                </c:pt>
                <c:pt idx="29">
                  <c:v>1241000</c:v>
                </c:pt>
                <c:pt idx="30">
                  <c:v>1422000</c:v>
                </c:pt>
                <c:pt idx="31">
                  <c:v>1626000</c:v>
                </c:pt>
                <c:pt idx="32">
                  <c:v>1853000</c:v>
                </c:pt>
                <c:pt idx="33">
                  <c:v>2103000</c:v>
                </c:pt>
                <c:pt idx="34">
                  <c:v>2393000</c:v>
                </c:pt>
                <c:pt idx="35">
                  <c:v>2723000</c:v>
                </c:pt>
                <c:pt idx="36">
                  <c:v>3093000</c:v>
                </c:pt>
                <c:pt idx="37">
                  <c:v>3503000</c:v>
                </c:pt>
                <c:pt idx="38">
                  <c:v>3953000</c:v>
                </c:pt>
                <c:pt idx="39">
                  <c:v>4473000</c:v>
                </c:pt>
                <c:pt idx="40">
                  <c:v>5063000</c:v>
                </c:pt>
                <c:pt idx="41">
                  <c:v>5723000</c:v>
                </c:pt>
                <c:pt idx="42">
                  <c:v>6453000</c:v>
                </c:pt>
                <c:pt idx="43">
                  <c:v>7253000</c:v>
                </c:pt>
                <c:pt idx="44">
                  <c:v>8153000</c:v>
                </c:pt>
                <c:pt idx="45">
                  <c:v>9153000</c:v>
                </c:pt>
                <c:pt idx="46">
                  <c:v>10253000</c:v>
                </c:pt>
                <c:pt idx="47">
                  <c:v>11453000</c:v>
                </c:pt>
                <c:pt idx="48">
                  <c:v>12753000</c:v>
                </c:pt>
                <c:pt idx="49">
                  <c:v>14193000</c:v>
                </c:pt>
                <c:pt idx="50">
                  <c:v>15773000</c:v>
                </c:pt>
                <c:pt idx="51">
                  <c:v>17493000</c:v>
                </c:pt>
                <c:pt idx="52">
                  <c:v>19353000</c:v>
                </c:pt>
                <c:pt idx="53">
                  <c:v>21353000</c:v>
                </c:pt>
                <c:pt idx="54">
                  <c:v>23553000</c:v>
                </c:pt>
                <c:pt idx="55">
                  <c:v>25953000</c:v>
                </c:pt>
                <c:pt idx="56">
                  <c:v>28553000</c:v>
                </c:pt>
                <c:pt idx="57">
                  <c:v>31353000</c:v>
                </c:pt>
                <c:pt idx="58">
                  <c:v>34353000</c:v>
                </c:pt>
                <c:pt idx="59">
                  <c:v>37703000</c:v>
                </c:pt>
                <c:pt idx="60">
                  <c:v>41403000</c:v>
                </c:pt>
                <c:pt idx="61">
                  <c:v>45453000</c:v>
                </c:pt>
                <c:pt idx="62">
                  <c:v>49853000</c:v>
                </c:pt>
                <c:pt idx="63">
                  <c:v>54603000</c:v>
                </c:pt>
                <c:pt idx="64">
                  <c:v>59853000</c:v>
                </c:pt>
                <c:pt idx="65">
                  <c:v>65603000</c:v>
                </c:pt>
                <c:pt idx="66">
                  <c:v>71853000</c:v>
                </c:pt>
                <c:pt idx="67">
                  <c:v>78603000</c:v>
                </c:pt>
                <c:pt idx="68">
                  <c:v>85853000</c:v>
                </c:pt>
                <c:pt idx="69">
                  <c:v>93853000</c:v>
                </c:pt>
                <c:pt idx="70">
                  <c:v>102603000</c:v>
                </c:pt>
                <c:pt idx="71">
                  <c:v>112103000</c:v>
                </c:pt>
                <c:pt idx="72">
                  <c:v>122353000</c:v>
                </c:pt>
                <c:pt idx="73">
                  <c:v>133353000</c:v>
                </c:pt>
                <c:pt idx="74">
                  <c:v>145353000</c:v>
                </c:pt>
                <c:pt idx="75">
                  <c:v>158353000</c:v>
                </c:pt>
                <c:pt idx="76">
                  <c:v>172353000</c:v>
                </c:pt>
                <c:pt idx="77">
                  <c:v>187353000</c:v>
                </c:pt>
                <c:pt idx="78">
                  <c:v>203353000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F1-4817-BBDC-4677850A6127}"/>
            </c:ext>
          </c:extLst>
        </c:ser>
        <c:ser>
          <c:idx val="2"/>
          <c:order val="2"/>
          <c:tx>
            <c:strRef>
              <c:f>Sheet2!$A$1</c:f>
              <c:strCache>
                <c:ptCount val="1"/>
                <c:pt idx="0">
                  <c:v>Spieler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Sheet2!$C$2:$C$9</c:f>
              <c:numCache>
                <c:formatCode>#,##0</c:formatCode>
                <c:ptCount val="8"/>
                <c:pt idx="0">
                  <c:v>70</c:v>
                </c:pt>
                <c:pt idx="1">
                  <c:v>58</c:v>
                </c:pt>
                <c:pt idx="2">
                  <c:v>48</c:v>
                </c:pt>
                <c:pt idx="3">
                  <c:v>66</c:v>
                </c:pt>
                <c:pt idx="4">
                  <c:v>56</c:v>
                </c:pt>
                <c:pt idx="5">
                  <c:v>51</c:v>
                </c:pt>
                <c:pt idx="6">
                  <c:v>70</c:v>
                </c:pt>
                <c:pt idx="7">
                  <c:v>75</c:v>
                </c:pt>
              </c:numCache>
            </c:numRef>
          </c:xVal>
          <c:yVal>
            <c:numRef>
              <c:f>Sheet2!$B$2:$B$9</c:f>
              <c:numCache>
                <c:formatCode>#,##0</c:formatCode>
                <c:ptCount val="8"/>
                <c:pt idx="0">
                  <c:v>92387860</c:v>
                </c:pt>
                <c:pt idx="1">
                  <c:v>31110883</c:v>
                </c:pt>
                <c:pt idx="2">
                  <c:v>11383685</c:v>
                </c:pt>
                <c:pt idx="3">
                  <c:v>60369937</c:v>
                </c:pt>
                <c:pt idx="4">
                  <c:v>24481080</c:v>
                </c:pt>
                <c:pt idx="5">
                  <c:v>15152583</c:v>
                </c:pt>
                <c:pt idx="6">
                  <c:v>204426736</c:v>
                </c:pt>
                <c:pt idx="7">
                  <c:v>349601345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0F1-4817-BBDC-4677850A6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521888"/>
        <c:axId val="378522368"/>
      </c:scatterChart>
      <c:valAx>
        <c:axId val="37852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8522368"/>
        <c:crosses val="autoZero"/>
        <c:crossBetween val="midCat"/>
      </c:valAx>
      <c:valAx>
        <c:axId val="37852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852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447674</xdr:colOff>
      <xdr:row>1</xdr:row>
      <xdr:rowOff>147636</xdr:rowOff>
    </xdr:from>
    <xdr:to>
      <xdr:col>23</xdr:col>
      <xdr:colOff>314325</xdr:colOff>
      <xdr:row>33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01CA9A-7844-5DAF-A0A6-DA5985DE0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2E7F-C48E-4DED-AAAE-7705A2A20ECA}">
  <dimension ref="A1:D81"/>
  <sheetViews>
    <sheetView tabSelected="1" workbookViewId="0">
      <selection sqref="A1:C81"/>
    </sheetView>
  </sheetViews>
  <sheetFormatPr defaultRowHeight="15" x14ac:dyDescent="0.25"/>
  <cols>
    <col min="2" max="2" width="12.7109375" style="1" bestFit="1" customWidth="1"/>
    <col min="3" max="3" width="11.140625" style="1" bestFit="1" customWidth="1"/>
  </cols>
  <sheetData>
    <row r="1" spans="1:3" x14ac:dyDescent="0.25">
      <c r="A1" t="s">
        <v>13</v>
      </c>
      <c r="B1" s="1" t="s">
        <v>14</v>
      </c>
      <c r="C1" s="1" t="s">
        <v>0</v>
      </c>
    </row>
    <row r="2" spans="1:3" x14ac:dyDescent="0.25">
      <c r="A2">
        <v>1</v>
      </c>
      <c r="B2" s="1">
        <v>2500</v>
      </c>
      <c r="C2" s="1">
        <v>0</v>
      </c>
    </row>
    <row r="3" spans="1:3" x14ac:dyDescent="0.25">
      <c r="A3">
        <v>2</v>
      </c>
      <c r="B3" s="1">
        <f>C4-C3</f>
        <v>3000</v>
      </c>
      <c r="C3" s="1">
        <v>2500</v>
      </c>
    </row>
    <row r="4" spans="1:3" x14ac:dyDescent="0.25">
      <c r="A4">
        <v>3</v>
      </c>
      <c r="B4" s="1">
        <f>C5-C4</f>
        <v>3500</v>
      </c>
      <c r="C4" s="1">
        <v>5500</v>
      </c>
    </row>
    <row r="5" spans="1:3" x14ac:dyDescent="0.25">
      <c r="A5">
        <v>4</v>
      </c>
      <c r="B5" s="1">
        <f>C6-C5</f>
        <v>4000</v>
      </c>
      <c r="C5" s="1">
        <v>9000</v>
      </c>
    </row>
    <row r="6" spans="1:3" x14ac:dyDescent="0.25">
      <c r="A6">
        <v>5</v>
      </c>
      <c r="B6" s="1">
        <f>C7-C6</f>
        <v>5000</v>
      </c>
      <c r="C6" s="1">
        <v>13000</v>
      </c>
    </row>
    <row r="7" spans="1:3" x14ac:dyDescent="0.25">
      <c r="A7">
        <v>6</v>
      </c>
      <c r="B7" s="1">
        <f>C8-C7</f>
        <v>6000</v>
      </c>
      <c r="C7" s="1">
        <v>18000</v>
      </c>
    </row>
    <row r="8" spans="1:3" x14ac:dyDescent="0.25">
      <c r="A8">
        <v>7</v>
      </c>
      <c r="B8" s="1">
        <f>C9-C8</f>
        <v>7000</v>
      </c>
      <c r="C8" s="1">
        <v>24000</v>
      </c>
    </row>
    <row r="9" spans="1:3" x14ac:dyDescent="0.25">
      <c r="A9">
        <v>8</v>
      </c>
      <c r="B9" s="1">
        <f>C10-C9</f>
        <v>8000</v>
      </c>
      <c r="C9" s="1">
        <v>31000</v>
      </c>
    </row>
    <row r="10" spans="1:3" x14ac:dyDescent="0.25">
      <c r="A10">
        <v>9</v>
      </c>
      <c r="B10" s="1">
        <f>C11-C10</f>
        <v>9000</v>
      </c>
      <c r="C10" s="1">
        <v>39000</v>
      </c>
    </row>
    <row r="11" spans="1:3" x14ac:dyDescent="0.25">
      <c r="A11">
        <v>10</v>
      </c>
      <c r="B11" s="1">
        <f>C12-C11</f>
        <v>10000</v>
      </c>
      <c r="C11" s="1">
        <v>48000</v>
      </c>
    </row>
    <row r="12" spans="1:3" x14ac:dyDescent="0.25">
      <c r="A12">
        <v>11</v>
      </c>
      <c r="B12" s="1">
        <f>C13-C12</f>
        <v>12000</v>
      </c>
      <c r="C12" s="1">
        <v>58000</v>
      </c>
    </row>
    <row r="13" spans="1:3" x14ac:dyDescent="0.25">
      <c r="A13">
        <v>12</v>
      </c>
      <c r="B13" s="1">
        <f>C14-C13</f>
        <v>14000</v>
      </c>
      <c r="C13" s="1">
        <v>70000</v>
      </c>
    </row>
    <row r="14" spans="1:3" x14ac:dyDescent="0.25">
      <c r="A14">
        <v>13</v>
      </c>
      <c r="B14" s="1">
        <f>C15-C14</f>
        <v>16000</v>
      </c>
      <c r="C14" s="1">
        <v>84000</v>
      </c>
    </row>
    <row r="15" spans="1:3" x14ac:dyDescent="0.25">
      <c r="A15">
        <v>14</v>
      </c>
      <c r="B15" s="1">
        <f>C16-C15</f>
        <v>18000</v>
      </c>
      <c r="C15" s="1">
        <v>100000</v>
      </c>
    </row>
    <row r="16" spans="1:3" x14ac:dyDescent="0.25">
      <c r="A16">
        <v>15</v>
      </c>
      <c r="B16" s="1">
        <f>C17-C16</f>
        <v>21000</v>
      </c>
      <c r="C16" s="1">
        <v>118000</v>
      </c>
    </row>
    <row r="17" spans="1:3" x14ac:dyDescent="0.25">
      <c r="A17">
        <v>16</v>
      </c>
      <c r="B17" s="1">
        <f>C18-C17</f>
        <v>24000</v>
      </c>
      <c r="C17" s="1">
        <v>139000</v>
      </c>
    </row>
    <row r="18" spans="1:3" x14ac:dyDescent="0.25">
      <c r="A18">
        <v>17</v>
      </c>
      <c r="B18" s="1">
        <f>C19-C18</f>
        <v>28500</v>
      </c>
      <c r="C18" s="1">
        <v>163000</v>
      </c>
    </row>
    <row r="19" spans="1:3" x14ac:dyDescent="0.25">
      <c r="A19">
        <v>18</v>
      </c>
      <c r="B19" s="1">
        <f>IF(C20-C19&lt;0,0,C20-C19)</f>
        <v>31500</v>
      </c>
      <c r="C19" s="1">
        <v>191500</v>
      </c>
    </row>
    <row r="20" spans="1:3" x14ac:dyDescent="0.25">
      <c r="A20">
        <v>19</v>
      </c>
      <c r="B20" s="1">
        <f>IF(C21-C20&lt;0,0,C21-C20)</f>
        <v>35000</v>
      </c>
      <c r="C20" s="1">
        <v>223000</v>
      </c>
    </row>
    <row r="21" spans="1:3" x14ac:dyDescent="0.25">
      <c r="A21">
        <v>20</v>
      </c>
      <c r="B21" s="1">
        <f>IF(C22-C21&lt;0,0,C22-C21)</f>
        <v>42000</v>
      </c>
      <c r="C21" s="1">
        <v>258000</v>
      </c>
    </row>
    <row r="22" spans="1:3" x14ac:dyDescent="0.25">
      <c r="A22">
        <v>21</v>
      </c>
      <c r="B22" s="1">
        <f>IF(C23-C22&lt;0,0,C23-C22)</f>
        <v>49000</v>
      </c>
      <c r="C22" s="1">
        <v>300000</v>
      </c>
    </row>
    <row r="23" spans="1:3" x14ac:dyDescent="0.25">
      <c r="A23">
        <v>22</v>
      </c>
      <c r="B23" s="1">
        <f>IF(C24-C23&lt;0,0,C24-C23)</f>
        <v>56000</v>
      </c>
      <c r="C23" s="1">
        <v>349000</v>
      </c>
    </row>
    <row r="24" spans="1:3" x14ac:dyDescent="0.25">
      <c r="A24">
        <v>23</v>
      </c>
      <c r="B24" s="1">
        <f>IF(C25-C24&lt;0,0,C25-C24)</f>
        <v>63000</v>
      </c>
      <c r="C24" s="1">
        <v>405000</v>
      </c>
    </row>
    <row r="25" spans="1:3" x14ac:dyDescent="0.25">
      <c r="A25">
        <v>24</v>
      </c>
      <c r="B25" s="1">
        <f>IF(C26-C25&lt;0,0,C26-C25)</f>
        <v>70000</v>
      </c>
      <c r="C25" s="1">
        <v>468000</v>
      </c>
    </row>
    <row r="26" spans="1:3" x14ac:dyDescent="0.25">
      <c r="A26">
        <v>25</v>
      </c>
      <c r="B26" s="1">
        <f>IF(C27-C26&lt;0,0,C27-C26)</f>
        <v>83000</v>
      </c>
      <c r="C26" s="1">
        <v>538000</v>
      </c>
    </row>
    <row r="27" spans="1:3" x14ac:dyDescent="0.25">
      <c r="A27">
        <v>26</v>
      </c>
      <c r="B27" s="1">
        <f>IF(C28-C27&lt;0,0,C28-C27)</f>
        <v>96000</v>
      </c>
      <c r="C27" s="1">
        <v>621000</v>
      </c>
    </row>
    <row r="28" spans="1:3" x14ac:dyDescent="0.25">
      <c r="A28">
        <v>27</v>
      </c>
      <c r="B28" s="1">
        <f>IF(C29-C28&lt;0,0,C29-C28)</f>
        <v>109000</v>
      </c>
      <c r="C28" s="1">
        <v>717000</v>
      </c>
    </row>
    <row r="29" spans="1:3" x14ac:dyDescent="0.25">
      <c r="A29">
        <v>28</v>
      </c>
      <c r="B29" s="1">
        <f>IF(C30-C29&lt;0,0,C30-C29)</f>
        <v>122000</v>
      </c>
      <c r="C29" s="1">
        <v>826000</v>
      </c>
    </row>
    <row r="30" spans="1:3" x14ac:dyDescent="0.25">
      <c r="A30">
        <v>29</v>
      </c>
      <c r="B30" s="1">
        <f>IF(C31-C30&lt;0,0,C31-C30)</f>
        <v>135000</v>
      </c>
      <c r="C30" s="1">
        <v>948000</v>
      </c>
    </row>
    <row r="31" spans="1:3" x14ac:dyDescent="0.25">
      <c r="A31">
        <v>30</v>
      </c>
      <c r="B31" s="1">
        <f>IF(C32-C31&lt;0,0,C32-C31)</f>
        <v>158000</v>
      </c>
      <c r="C31" s="1">
        <v>1083000</v>
      </c>
    </row>
    <row r="32" spans="1:3" x14ac:dyDescent="0.25">
      <c r="A32">
        <v>31</v>
      </c>
      <c r="B32" s="1">
        <f>IF(C33-C32&lt;0,0,C33-C32)</f>
        <v>181000</v>
      </c>
      <c r="C32" s="1">
        <v>1241000</v>
      </c>
    </row>
    <row r="33" spans="1:4" x14ac:dyDescent="0.25">
      <c r="A33">
        <v>32</v>
      </c>
      <c r="B33" s="1">
        <f>IF(C34-C33&lt;0,0,C34-C33)</f>
        <v>204000</v>
      </c>
      <c r="C33" s="1">
        <f>D33*1000</f>
        <v>1422000</v>
      </c>
      <c r="D33">
        <v>1422</v>
      </c>
    </row>
    <row r="34" spans="1:4" x14ac:dyDescent="0.25">
      <c r="A34">
        <v>33</v>
      </c>
      <c r="B34" s="1">
        <f>IF(C35-C34&lt;0,0,C35-C34)</f>
        <v>227000</v>
      </c>
      <c r="C34" s="1">
        <f t="shared" ref="C34:C81" si="0">D34*1000</f>
        <v>1626000</v>
      </c>
      <c r="D34">
        <v>1626</v>
      </c>
    </row>
    <row r="35" spans="1:4" x14ac:dyDescent="0.25">
      <c r="A35">
        <v>34</v>
      </c>
      <c r="B35" s="1">
        <f>IF(C36-C35&lt;0,0,C36-C35)</f>
        <v>250000</v>
      </c>
      <c r="C35" s="1">
        <f t="shared" si="0"/>
        <v>1853000</v>
      </c>
      <c r="D35">
        <v>1853</v>
      </c>
    </row>
    <row r="36" spans="1:4" x14ac:dyDescent="0.25">
      <c r="A36">
        <v>35</v>
      </c>
      <c r="B36" s="1">
        <f>IF(C37-C36&lt;0,0,C37-C36)</f>
        <v>290000</v>
      </c>
      <c r="C36" s="1">
        <f t="shared" si="0"/>
        <v>2103000</v>
      </c>
      <c r="D36">
        <v>2103</v>
      </c>
    </row>
    <row r="37" spans="1:4" x14ac:dyDescent="0.25">
      <c r="A37">
        <v>36</v>
      </c>
      <c r="B37" s="1">
        <f>IF(C38-C37&lt;0,0,C38-C37)</f>
        <v>330000</v>
      </c>
      <c r="C37" s="1">
        <f t="shared" si="0"/>
        <v>2393000</v>
      </c>
      <c r="D37">
        <v>2393</v>
      </c>
    </row>
    <row r="38" spans="1:4" x14ac:dyDescent="0.25">
      <c r="A38">
        <v>37</v>
      </c>
      <c r="B38" s="1">
        <f>IF(C39-C38&lt;0,0,C39-C38)</f>
        <v>370000</v>
      </c>
      <c r="C38" s="1">
        <f t="shared" si="0"/>
        <v>2723000</v>
      </c>
      <c r="D38">
        <v>2723</v>
      </c>
    </row>
    <row r="39" spans="1:4" x14ac:dyDescent="0.25">
      <c r="A39">
        <v>38</v>
      </c>
      <c r="B39" s="1">
        <f>IF(C40-C39&lt;0,0,C40-C39)</f>
        <v>410000</v>
      </c>
      <c r="C39" s="1">
        <f t="shared" si="0"/>
        <v>3093000</v>
      </c>
      <c r="D39">
        <v>3093</v>
      </c>
    </row>
    <row r="40" spans="1:4" x14ac:dyDescent="0.25">
      <c r="A40">
        <v>39</v>
      </c>
      <c r="B40" s="1">
        <f>IF(C41-C40&lt;0,0,C41-C40)</f>
        <v>450000</v>
      </c>
      <c r="C40" s="1">
        <f t="shared" si="0"/>
        <v>3503000</v>
      </c>
      <c r="D40">
        <v>3503</v>
      </c>
    </row>
    <row r="41" spans="1:4" x14ac:dyDescent="0.25">
      <c r="A41">
        <v>40</v>
      </c>
      <c r="B41" s="1">
        <f>IF(C42-C41&lt;0,0,C42-C41)</f>
        <v>520000</v>
      </c>
      <c r="C41" s="1">
        <f t="shared" si="0"/>
        <v>3953000</v>
      </c>
      <c r="D41">
        <v>3953</v>
      </c>
    </row>
    <row r="42" spans="1:4" x14ac:dyDescent="0.25">
      <c r="A42">
        <v>41</v>
      </c>
      <c r="B42" s="1">
        <f>IF(C43-C42&lt;0,0,C43-C42)</f>
        <v>590000</v>
      </c>
      <c r="C42" s="1">
        <f t="shared" si="0"/>
        <v>4473000</v>
      </c>
      <c r="D42">
        <v>4473</v>
      </c>
    </row>
    <row r="43" spans="1:4" x14ac:dyDescent="0.25">
      <c r="A43">
        <v>42</v>
      </c>
      <c r="B43" s="1">
        <f>IF(C44-C43&lt;0,0,C44-C43)</f>
        <v>660000</v>
      </c>
      <c r="C43" s="1">
        <f t="shared" si="0"/>
        <v>5063000</v>
      </c>
      <c r="D43">
        <v>5063</v>
      </c>
    </row>
    <row r="44" spans="1:4" x14ac:dyDescent="0.25">
      <c r="A44">
        <v>43</v>
      </c>
      <c r="B44" s="1">
        <f>IF(C45-C44&lt;0,0,C45-C44)</f>
        <v>730000</v>
      </c>
      <c r="C44" s="1">
        <f t="shared" si="0"/>
        <v>5723000</v>
      </c>
      <c r="D44">
        <v>5723</v>
      </c>
    </row>
    <row r="45" spans="1:4" x14ac:dyDescent="0.25">
      <c r="A45">
        <v>44</v>
      </c>
      <c r="B45" s="1">
        <f>IF(C46-C45&lt;0,0,C46-C45)</f>
        <v>800000</v>
      </c>
      <c r="C45" s="1">
        <f t="shared" si="0"/>
        <v>6453000</v>
      </c>
      <c r="D45">
        <v>6453</v>
      </c>
    </row>
    <row r="46" spans="1:4" x14ac:dyDescent="0.25">
      <c r="A46">
        <v>45</v>
      </c>
      <c r="B46" s="1">
        <f>IF(C47-C46&lt;0,0,C47-C46)</f>
        <v>900000</v>
      </c>
      <c r="C46" s="1">
        <f t="shared" si="0"/>
        <v>7253000</v>
      </c>
      <c r="D46">
        <v>7253</v>
      </c>
    </row>
    <row r="47" spans="1:4" x14ac:dyDescent="0.25">
      <c r="A47">
        <v>46</v>
      </c>
      <c r="B47" s="1">
        <f>IF(C48-C47&lt;0,0,C48-C47)</f>
        <v>1000000</v>
      </c>
      <c r="C47" s="1">
        <f t="shared" si="0"/>
        <v>8153000</v>
      </c>
      <c r="D47">
        <v>8153</v>
      </c>
    </row>
    <row r="48" spans="1:4" x14ac:dyDescent="0.25">
      <c r="A48">
        <v>47</v>
      </c>
      <c r="B48" s="1">
        <f>IF(C49-C48&lt;0,0,C49-C48)</f>
        <v>1100000</v>
      </c>
      <c r="C48" s="1">
        <f t="shared" si="0"/>
        <v>9153000</v>
      </c>
      <c r="D48">
        <v>9153</v>
      </c>
    </row>
    <row r="49" spans="1:4" x14ac:dyDescent="0.25">
      <c r="A49">
        <v>48</v>
      </c>
      <c r="B49" s="1">
        <f>IF(C50-C49&lt;0,0,C50-C49)</f>
        <v>1200000</v>
      </c>
      <c r="C49" s="1">
        <f t="shared" si="0"/>
        <v>10253000</v>
      </c>
      <c r="D49">
        <v>10253</v>
      </c>
    </row>
    <row r="50" spans="1:4" x14ac:dyDescent="0.25">
      <c r="A50">
        <v>49</v>
      </c>
      <c r="B50" s="1">
        <f>IF(C51-C50&lt;0,0,C51-C50)</f>
        <v>1300000</v>
      </c>
      <c r="C50" s="1">
        <f t="shared" si="0"/>
        <v>11453000</v>
      </c>
      <c r="D50">
        <v>11453</v>
      </c>
    </row>
    <row r="51" spans="1:4" x14ac:dyDescent="0.25">
      <c r="A51">
        <v>50</v>
      </c>
      <c r="B51" s="1">
        <f>IF(C52-C51&lt;0,0,C52-C51)</f>
        <v>1440000</v>
      </c>
      <c r="C51" s="1">
        <f t="shared" si="0"/>
        <v>12753000</v>
      </c>
      <c r="D51">
        <v>12753</v>
      </c>
    </row>
    <row r="52" spans="1:4" x14ac:dyDescent="0.25">
      <c r="A52">
        <v>51</v>
      </c>
      <c r="B52" s="1">
        <f>IF(C53-C52&lt;0,0,C53-C52)</f>
        <v>1580000</v>
      </c>
      <c r="C52" s="1">
        <f t="shared" si="0"/>
        <v>14193000</v>
      </c>
      <c r="D52">
        <v>14193</v>
      </c>
    </row>
    <row r="53" spans="1:4" x14ac:dyDescent="0.25">
      <c r="A53">
        <v>52</v>
      </c>
      <c r="B53" s="1">
        <f>IF(C54-C53&lt;0,0,C54-C53)</f>
        <v>1720000</v>
      </c>
      <c r="C53" s="1">
        <f t="shared" si="0"/>
        <v>15773000</v>
      </c>
      <c r="D53">
        <v>15773</v>
      </c>
    </row>
    <row r="54" spans="1:4" x14ac:dyDescent="0.25">
      <c r="A54">
        <v>53</v>
      </c>
      <c r="B54" s="1">
        <f>IF(C55-C54&lt;0,0,C55-C54)</f>
        <v>1860000</v>
      </c>
      <c r="C54" s="1">
        <f t="shared" si="0"/>
        <v>17493000</v>
      </c>
      <c r="D54">
        <v>17493</v>
      </c>
    </row>
    <row r="55" spans="1:4" x14ac:dyDescent="0.25">
      <c r="A55">
        <v>54</v>
      </c>
      <c r="B55" s="1">
        <f>IF(C56-C55&lt;0,0,C56-C55)</f>
        <v>2000000</v>
      </c>
      <c r="C55" s="1">
        <f t="shared" si="0"/>
        <v>19353000</v>
      </c>
      <c r="D55">
        <v>19353</v>
      </c>
    </row>
    <row r="56" spans="1:4" x14ac:dyDescent="0.25">
      <c r="A56">
        <v>55</v>
      </c>
      <c r="B56" s="1">
        <f>IF(C57-C56&lt;0,0,C57-C56)</f>
        <v>2200000</v>
      </c>
      <c r="C56" s="1">
        <f>D56*10000+3000</f>
        <v>21353000</v>
      </c>
      <c r="D56">
        <v>2135</v>
      </c>
    </row>
    <row r="57" spans="1:4" x14ac:dyDescent="0.25">
      <c r="A57">
        <v>56</v>
      </c>
      <c r="B57" s="1">
        <f>IF(C58-C57&lt;0,0,C58-C57)</f>
        <v>2400000</v>
      </c>
      <c r="C57" s="1">
        <f t="shared" ref="C57:C79" si="1">D57*10000+3000</f>
        <v>23553000</v>
      </c>
      <c r="D57">
        <v>2355</v>
      </c>
    </row>
    <row r="58" spans="1:4" x14ac:dyDescent="0.25">
      <c r="A58">
        <v>57</v>
      </c>
      <c r="B58" s="1">
        <f>IF(C59-C58&lt;0,0,C59-C58)</f>
        <v>2600000</v>
      </c>
      <c r="C58" s="1">
        <f t="shared" si="1"/>
        <v>25953000</v>
      </c>
      <c r="D58">
        <v>2595</v>
      </c>
    </row>
    <row r="59" spans="1:4" x14ac:dyDescent="0.25">
      <c r="A59">
        <v>58</v>
      </c>
      <c r="B59" s="1">
        <f>IF(C60-C59&lt;0,0,C60-C59)</f>
        <v>2800000</v>
      </c>
      <c r="C59" s="1">
        <f t="shared" si="1"/>
        <v>28553000</v>
      </c>
      <c r="D59">
        <v>2855</v>
      </c>
    </row>
    <row r="60" spans="1:4" x14ac:dyDescent="0.25">
      <c r="A60">
        <v>59</v>
      </c>
      <c r="B60" s="1">
        <f>IF(C61-C60&lt;0,0,C61-C60)</f>
        <v>3000000</v>
      </c>
      <c r="C60" s="1">
        <f t="shared" si="1"/>
        <v>31353000</v>
      </c>
      <c r="D60">
        <v>3135</v>
      </c>
    </row>
    <row r="61" spans="1:4" x14ac:dyDescent="0.25">
      <c r="A61">
        <v>60</v>
      </c>
      <c r="B61" s="1">
        <f>IF(C62-C61&lt;0,0,C62-C61)</f>
        <v>3350000</v>
      </c>
      <c r="C61" s="1">
        <f t="shared" si="1"/>
        <v>34353000</v>
      </c>
      <c r="D61">
        <v>3435</v>
      </c>
    </row>
    <row r="62" spans="1:4" x14ac:dyDescent="0.25">
      <c r="A62">
        <v>61</v>
      </c>
      <c r="B62" s="1">
        <f>IF(C63-C62&lt;0,0,C63-C62)</f>
        <v>3700000</v>
      </c>
      <c r="C62" s="1">
        <f t="shared" si="1"/>
        <v>37703000</v>
      </c>
      <c r="D62">
        <v>3770</v>
      </c>
    </row>
    <row r="63" spans="1:4" x14ac:dyDescent="0.25">
      <c r="A63">
        <v>62</v>
      </c>
      <c r="B63" s="1">
        <f>IF(C64-C63&lt;0,0,C64-C63)</f>
        <v>4050000</v>
      </c>
      <c r="C63" s="1">
        <f t="shared" si="1"/>
        <v>41403000</v>
      </c>
      <c r="D63">
        <v>4140</v>
      </c>
    </row>
    <row r="64" spans="1:4" x14ac:dyDescent="0.25">
      <c r="A64">
        <v>63</v>
      </c>
      <c r="B64" s="1">
        <f>IF(C65-C64&lt;0,0,C65-C64)</f>
        <v>4400000</v>
      </c>
      <c r="C64" s="1">
        <f t="shared" si="1"/>
        <v>45453000</v>
      </c>
      <c r="D64">
        <v>4545</v>
      </c>
    </row>
    <row r="65" spans="1:4" x14ac:dyDescent="0.25">
      <c r="A65">
        <v>64</v>
      </c>
      <c r="B65" s="1">
        <f>IF(C66-C65&lt;0,0,C66-C65)</f>
        <v>4750000</v>
      </c>
      <c r="C65" s="1">
        <f t="shared" si="1"/>
        <v>49853000</v>
      </c>
      <c r="D65">
        <v>4985</v>
      </c>
    </row>
    <row r="66" spans="1:4" x14ac:dyDescent="0.25">
      <c r="A66">
        <v>65</v>
      </c>
      <c r="B66" s="1">
        <f>IF(C67-C66&lt;0,0,C67-C66)</f>
        <v>5250000</v>
      </c>
      <c r="C66" s="1">
        <f t="shared" si="1"/>
        <v>54603000</v>
      </c>
      <c r="D66">
        <v>5460</v>
      </c>
    </row>
    <row r="67" spans="1:4" x14ac:dyDescent="0.25">
      <c r="A67">
        <v>66</v>
      </c>
      <c r="B67" s="1">
        <f>IF(C68-C67&lt;0,0,C68-C67)</f>
        <v>5750000</v>
      </c>
      <c r="C67" s="1">
        <f t="shared" si="1"/>
        <v>59853000</v>
      </c>
      <c r="D67">
        <v>5985</v>
      </c>
    </row>
    <row r="68" spans="1:4" x14ac:dyDescent="0.25">
      <c r="A68">
        <v>67</v>
      </c>
      <c r="B68" s="1">
        <f>IF(C69-C68&lt;0,0,C69-C68)</f>
        <v>6250000</v>
      </c>
      <c r="C68" s="1">
        <f t="shared" si="1"/>
        <v>65603000</v>
      </c>
      <c r="D68">
        <v>6560</v>
      </c>
    </row>
    <row r="69" spans="1:4" x14ac:dyDescent="0.25">
      <c r="A69">
        <v>68</v>
      </c>
      <c r="B69" s="1">
        <f>IF(C70-C69&lt;0,0,C70-C69)</f>
        <v>6750000</v>
      </c>
      <c r="C69" s="1">
        <f t="shared" si="1"/>
        <v>71853000</v>
      </c>
      <c r="D69">
        <v>7185</v>
      </c>
    </row>
    <row r="70" spans="1:4" x14ac:dyDescent="0.25">
      <c r="A70">
        <v>69</v>
      </c>
      <c r="B70" s="1">
        <f>IF(C71-C70&lt;0,0,C71-C70)</f>
        <v>7250000</v>
      </c>
      <c r="C70" s="1">
        <f t="shared" si="1"/>
        <v>78603000</v>
      </c>
      <c r="D70">
        <v>7860</v>
      </c>
    </row>
    <row r="71" spans="1:4" x14ac:dyDescent="0.25">
      <c r="A71">
        <v>70</v>
      </c>
      <c r="B71" s="1">
        <f>IF(C72-C71&lt;0,0,C72-C71)</f>
        <v>8000000</v>
      </c>
      <c r="C71" s="1">
        <f t="shared" si="1"/>
        <v>85853000</v>
      </c>
      <c r="D71">
        <v>8585</v>
      </c>
    </row>
    <row r="72" spans="1:4" x14ac:dyDescent="0.25">
      <c r="A72">
        <v>71</v>
      </c>
      <c r="B72" s="1">
        <f t="shared" ref="B72:B81" si="2">IF(C73-C72&lt;0,0,C73-C72)</f>
        <v>8750000</v>
      </c>
      <c r="C72" s="1">
        <f>D72*1000</f>
        <v>93853000</v>
      </c>
      <c r="D72">
        <v>93853</v>
      </c>
    </row>
    <row r="73" spans="1:4" x14ac:dyDescent="0.25">
      <c r="A73">
        <v>72</v>
      </c>
      <c r="B73" s="1">
        <f t="shared" si="2"/>
        <v>9500000</v>
      </c>
      <c r="C73" s="1">
        <f t="shared" si="1"/>
        <v>102603000</v>
      </c>
      <c r="D73">
        <v>10260</v>
      </c>
    </row>
    <row r="74" spans="1:4" x14ac:dyDescent="0.25">
      <c r="A74">
        <v>73</v>
      </c>
      <c r="B74" s="1">
        <f t="shared" si="2"/>
        <v>10250000</v>
      </c>
      <c r="C74" s="1">
        <f t="shared" si="1"/>
        <v>112103000</v>
      </c>
      <c r="D74">
        <v>11210</v>
      </c>
    </row>
    <row r="75" spans="1:4" x14ac:dyDescent="0.25">
      <c r="A75">
        <v>74</v>
      </c>
      <c r="B75" s="1">
        <f t="shared" si="2"/>
        <v>11000000</v>
      </c>
      <c r="C75" s="1">
        <f t="shared" si="1"/>
        <v>122353000</v>
      </c>
      <c r="D75">
        <v>12235</v>
      </c>
    </row>
    <row r="76" spans="1:4" x14ac:dyDescent="0.25">
      <c r="A76">
        <v>75</v>
      </c>
      <c r="B76" s="1">
        <f t="shared" si="2"/>
        <v>12000000</v>
      </c>
      <c r="C76" s="1">
        <f t="shared" si="1"/>
        <v>133353000</v>
      </c>
      <c r="D76">
        <v>13335</v>
      </c>
    </row>
    <row r="77" spans="1:4" x14ac:dyDescent="0.25">
      <c r="A77">
        <v>76</v>
      </c>
      <c r="B77" s="1">
        <f t="shared" si="2"/>
        <v>13000000</v>
      </c>
      <c r="C77" s="1">
        <f t="shared" si="1"/>
        <v>145353000</v>
      </c>
      <c r="D77">
        <v>14535</v>
      </c>
    </row>
    <row r="78" spans="1:4" x14ac:dyDescent="0.25">
      <c r="A78">
        <v>77</v>
      </c>
      <c r="B78" s="1">
        <f t="shared" si="2"/>
        <v>14000000</v>
      </c>
      <c r="C78" s="1">
        <f t="shared" si="1"/>
        <v>158353000</v>
      </c>
      <c r="D78">
        <v>15835</v>
      </c>
    </row>
    <row r="79" spans="1:4" x14ac:dyDescent="0.25">
      <c r="A79">
        <v>78</v>
      </c>
      <c r="B79" s="1">
        <f t="shared" si="2"/>
        <v>15000000</v>
      </c>
      <c r="C79" s="1">
        <f t="shared" si="1"/>
        <v>172353000</v>
      </c>
      <c r="D79">
        <v>17235</v>
      </c>
    </row>
    <row r="80" spans="1:4" x14ac:dyDescent="0.25">
      <c r="A80">
        <v>79</v>
      </c>
      <c r="B80" s="1">
        <f t="shared" si="2"/>
        <v>16000000</v>
      </c>
      <c r="C80" s="1">
        <f t="shared" ref="C73:C81" si="3">D80*1000</f>
        <v>187353000</v>
      </c>
      <c r="D80">
        <v>187353</v>
      </c>
    </row>
    <row r="81" spans="1:4" x14ac:dyDescent="0.25">
      <c r="A81">
        <v>80</v>
      </c>
      <c r="B81" s="1">
        <f t="shared" si="2"/>
        <v>0</v>
      </c>
      <c r="C81" s="1">
        <f t="shared" si="3"/>
        <v>203353000</v>
      </c>
      <c r="D81">
        <v>203353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38AD-9B51-47FA-AC2C-FB1B64023F15}">
  <dimension ref="A1:I9"/>
  <sheetViews>
    <sheetView workbookViewId="0">
      <selection activeCell="I4" sqref="I4"/>
    </sheetView>
  </sheetViews>
  <sheetFormatPr defaultRowHeight="15" x14ac:dyDescent="0.25"/>
  <cols>
    <col min="2" max="2" width="11.140625" style="1" bestFit="1" customWidth="1"/>
    <col min="3" max="3" width="10.140625" style="1" bestFit="1" customWidth="1"/>
    <col min="4" max="6" width="11.140625" style="1" bestFit="1" customWidth="1"/>
    <col min="7" max="7" width="10.140625" bestFit="1" customWidth="1"/>
    <col min="8" max="8" width="11.140625" bestFit="1" customWidth="1"/>
    <col min="9" max="9" width="10.140625" bestFit="1" customWidth="1"/>
  </cols>
  <sheetData>
    <row r="1" spans="1:9" x14ac:dyDescent="0.25">
      <c r="A1" t="s">
        <v>12</v>
      </c>
      <c r="B1" s="1" t="s">
        <v>0</v>
      </c>
      <c r="C1" s="1" t="s">
        <v>9</v>
      </c>
      <c r="D1" s="1" t="s">
        <v>10</v>
      </c>
      <c r="E1" s="1" t="s">
        <v>11</v>
      </c>
    </row>
    <row r="2" spans="1:9" x14ac:dyDescent="0.25">
      <c r="A2" t="s">
        <v>1</v>
      </c>
      <c r="B2" s="1">
        <f>D2+E2</f>
        <v>92387860</v>
      </c>
      <c r="C2" s="1">
        <v>70</v>
      </c>
      <c r="D2" s="1" cm="1">
        <f t="array" ref="D2">INDEX(Sheet1!$C:$C, Sheet2!C2+1)</f>
        <v>85853000</v>
      </c>
      <c r="E2" s="1">
        <v>6534860</v>
      </c>
      <c r="G2" s="1">
        <v>70</v>
      </c>
      <c r="H2" s="1">
        <v>6821968</v>
      </c>
    </row>
    <row r="3" spans="1:9" x14ac:dyDescent="0.25">
      <c r="A3" t="s">
        <v>2</v>
      </c>
      <c r="B3" s="1">
        <f t="shared" ref="B3:B9" si="0">D3+E3</f>
        <v>31110883</v>
      </c>
      <c r="C3" s="1">
        <v>58</v>
      </c>
      <c r="D3" s="1" cm="1">
        <f t="array" ref="D3">INDEX(Sheet1!$C:$C, Sheet2!C3+1)</f>
        <v>28553000</v>
      </c>
      <c r="E3" s="1">
        <v>2557883</v>
      </c>
      <c r="F3" s="1" cm="1">
        <f t="array" ref="F3">INDEX(Sheet1!$C:$C, Sheet2!G3+1)+H3</f>
        <v>31292886</v>
      </c>
      <c r="G3">
        <v>58</v>
      </c>
      <c r="H3" s="1">
        <v>2739886</v>
      </c>
      <c r="I3" s="1"/>
    </row>
    <row r="4" spans="1:9" x14ac:dyDescent="0.25">
      <c r="A4" t="s">
        <v>3</v>
      </c>
      <c r="B4" s="1">
        <f t="shared" si="0"/>
        <v>11383685</v>
      </c>
      <c r="C4" s="1">
        <v>48</v>
      </c>
      <c r="D4" s="1" cm="1">
        <f t="array" ref="D4">INDEX(Sheet1!$C:$C, Sheet2!C4+1)</f>
        <v>10253000</v>
      </c>
      <c r="E4" s="1">
        <v>1130685</v>
      </c>
      <c r="G4">
        <v>49</v>
      </c>
      <c r="H4" s="1">
        <v>3102</v>
      </c>
    </row>
    <row r="5" spans="1:9" x14ac:dyDescent="0.25">
      <c r="A5" t="s">
        <v>4</v>
      </c>
      <c r="B5" s="1">
        <f t="shared" si="0"/>
        <v>60369937</v>
      </c>
      <c r="C5" s="1">
        <v>66</v>
      </c>
      <c r="D5" s="1" cm="1">
        <f t="array" ref="D5">INDEX(Sheet1!$C:$C, Sheet2!C5+1)</f>
        <v>59853000</v>
      </c>
      <c r="E5" s="1">
        <v>516937</v>
      </c>
      <c r="G5">
        <v>66</v>
      </c>
      <c r="H5" s="1">
        <v>556837</v>
      </c>
    </row>
    <row r="6" spans="1:9" x14ac:dyDescent="0.25">
      <c r="A6" t="s">
        <v>5</v>
      </c>
      <c r="B6" s="1">
        <f t="shared" si="0"/>
        <v>24481080</v>
      </c>
      <c r="C6" s="1">
        <v>56</v>
      </c>
      <c r="D6" s="1" cm="1">
        <f t="array" ref="D6">INDEX(Sheet1!$C:$C, Sheet2!C6+1)</f>
        <v>23553000</v>
      </c>
      <c r="E6" s="1">
        <v>928080</v>
      </c>
      <c r="G6">
        <v>56</v>
      </c>
      <c r="H6" s="1">
        <v>1240955</v>
      </c>
    </row>
    <row r="7" spans="1:9" x14ac:dyDescent="0.25">
      <c r="A7" t="s">
        <v>6</v>
      </c>
      <c r="B7" s="1">
        <f t="shared" si="0"/>
        <v>15152583</v>
      </c>
      <c r="C7" s="1">
        <v>51</v>
      </c>
      <c r="D7" s="1" cm="1">
        <f t="array" ref="D7">INDEX(Sheet1!$C:$C, Sheet2!C7+1)</f>
        <v>14193000</v>
      </c>
      <c r="E7" s="1">
        <v>959583</v>
      </c>
      <c r="G7">
        <v>51</v>
      </c>
      <c r="H7" s="1">
        <v>1001493</v>
      </c>
    </row>
    <row r="8" spans="1:9" x14ac:dyDescent="0.25">
      <c r="A8" t="s">
        <v>7</v>
      </c>
      <c r="B8" s="1">
        <f t="shared" si="0"/>
        <v>204426736</v>
      </c>
      <c r="C8" s="1">
        <v>70</v>
      </c>
      <c r="D8" s="1" cm="1">
        <f t="array" ref="D8">INDEX(Sheet1!$C:$C, Sheet2!C8+1)</f>
        <v>85853000</v>
      </c>
      <c r="E8" s="1">
        <v>118573736</v>
      </c>
      <c r="G8">
        <v>71</v>
      </c>
      <c r="H8" s="1">
        <v>110784011</v>
      </c>
    </row>
    <row r="9" spans="1:9" x14ac:dyDescent="0.25">
      <c r="A9" t="s">
        <v>8</v>
      </c>
      <c r="B9" s="1">
        <f t="shared" si="0"/>
        <v>349601345</v>
      </c>
      <c r="C9" s="1">
        <v>75</v>
      </c>
      <c r="D9" s="1" cm="1">
        <f t="array" ref="D9">INDEX(Sheet1!$C:$C, Sheet2!C9+1)</f>
        <v>133353000</v>
      </c>
      <c r="E9" s="1">
        <v>216248345</v>
      </c>
      <c r="G9">
        <v>75</v>
      </c>
      <c r="H9" s="1">
        <v>217967141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Humitsch, Thomas</dc:creator>
  <cp:lastModifiedBy>Humitsch, Thomas</cp:lastModifiedBy>
  <dcterms:created xsi:type="dcterms:W3CDTF">2026-02-05T15:07:22Z</dcterms:created>
  <dcterms:modified xsi:type="dcterms:W3CDTF">2026-02-10T11:31:39Z</dcterms:modified>
</cp:coreProperties>
</file>